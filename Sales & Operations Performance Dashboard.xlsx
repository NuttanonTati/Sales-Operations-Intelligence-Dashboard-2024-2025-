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clusive _Dashboard" sheetId="1" r:id="rId5"/>
    <sheet state="hidden" name="DATA" sheetId="2" r:id="rId6"/>
  </sheets>
  <definedNames>
    <definedName hidden="1" localSheetId="1" name="Z_27D0E87C_AC8F_4514_A4DC_ED9279D30754_.wvu.FilterData">DATA!$A$37:$B$60</definedName>
    <definedName hidden="1" localSheetId="1" name="Z_27D0E87C_AC8F_4514_A4DC_ED9279D30754_.wvu.FilterData">DATA!$A$62:$B$67</definedName>
    <definedName hidden="1" localSheetId="1" name="Z_27D0E87C_AC8F_4514_A4DC_ED9279D30754_.wvu.FilterData">DATA!$A$37:$B$60</definedName>
    <definedName hidden="1" localSheetId="1" name="Z_27D0E87C_AC8F_4514_A4DC_ED9279D30754_.wvu.FilterData">DATA!$A$62:$B$67</definedName>
    <definedName name="SlicerCache_Table_3_Col_1">#N/A</definedName>
    <definedName name="SlicerCache_Table_4_Col_1">#N/A</definedName>
  </definedNames>
  <calcPr/>
  <customWorkbookViews>
    <customWorkbookView activeSheetId="0" maximized="1" windowHeight="0" windowWidth="0" guid="{27D0E87C-AC8F-4514-A4DC-ED9279D30754}" name="Filter 1"/>
  </customWorkbookViews>
  <extLst>
    <ext uri="{46BE6895-7355-4a93-B00E-2C351335B9C9}">
      <x15:slicerCaches>
        <x14:slicerCache r:id="rId7"/>
        <x14:slicerCache r:id="rId8"/>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"พบว่ายอดขายปี 2025 ลดลง 39% เมื่อเทียบกับช่วงเวลาเดียวกัน แต่ยังรักษา Success Rate ได้ที่ระดับ 88% แสดงถึงประสิทธิภาพของ Operation ที่ยังคงมาตรฐานเดิม"</t>
      </text>
    </comment>
    <comment authorId="0" ref="D6">
      <text>
        <t xml:space="preserve">"แม้ Success Rate จะนิ่งที่ 88.2%  แต่หาก AOV ลดลง แสดงว่าพฤติกรรมลูกค้าเปลี่ยนไปซื้อสินค้าขนาดเล็กลง"</t>
      </text>
    </comment>
    <comment authorId="0" ref="E34">
      <text>
        <t xml:space="preserve">"เรามีความเสี่ยงสูงถ้าหากร้านหลักมีปัญหา ควรเร่งปั้นร้านอื่นเพิ่ม"</t>
      </text>
    </comment>
  </commentList>
</comments>
</file>

<file path=xl/sharedStrings.xml><?xml version="1.0" encoding="utf-8"?>
<sst xmlns="http://schemas.openxmlformats.org/spreadsheetml/2006/main" count="114" uniqueCount="91">
  <si>
    <t>"Sales &amp; Operations Performance Dashboard"</t>
  </si>
  <si>
    <t>*** INSIGHT ***</t>
  </si>
  <si>
    <t>2024 (Baseline)</t>
  </si>
  <si>
    <t>2025 (YTD)</t>
  </si>
  <si>
    <t>Change (%)</t>
  </si>
  <si>
    <t>Net Revenue</t>
  </si>
  <si>
    <t>Success Rate</t>
  </si>
  <si>
    <t>Avg. Monthly</t>
  </si>
  <si>
    <t>Average Order Value</t>
  </si>
  <si>
    <t>Operations Audit</t>
  </si>
  <si>
    <t>Order No</t>
  </si>
  <si>
    <t>Merchant SKU</t>
  </si>
  <si>
    <t>Order Status</t>
  </si>
  <si>
    <t>Order Revenue</t>
  </si>
  <si>
    <t>Profit/Loss</t>
  </si>
  <si>
    <t>Shipping Fee Paid by Seller</t>
  </si>
  <si>
    <t>Commission Fee</t>
  </si>
  <si>
    <t>07.4 KZN 2N 7.5 SL</t>
  </si>
  <si>
    <t>Completed</t>
  </si>
  <si>
    <t>20.19 LY-CS998-MK</t>
  </si>
  <si>
    <t>04.2 KPFBS2.8</t>
  </si>
  <si>
    <r>
      <rPr>
        <rFont val="Arial"/>
        <b/>
        <color theme="1"/>
        <sz val="11.0"/>
      </rPr>
      <t xml:space="preserve">📈 Revenue: </t>
    </r>
    <r>
      <rPr>
        <rFont val="Arial"/>
        <b val="0"/>
        <color theme="1"/>
        <sz val="11.0"/>
      </rPr>
      <t xml:space="preserve">ยอดขายปี 2025 (26.4M) ลดลง 39% สวนทางกับตลาด แต่ระบบหลังบ้านยังแกร่ง รักษา Success Rate ได้ที่ 88.2% </t>
    </r>
    <r>
      <rPr>
        <rFont val="Arial"/>
        <b/>
        <color theme="1"/>
        <sz val="11.0"/>
      </rPr>
      <t xml:space="preserve">
📦 Core Products: </t>
    </r>
    <r>
      <rPr>
        <rFont val="Arial"/>
        <b val="0"/>
        <color theme="1"/>
        <sz val="11.0"/>
      </rPr>
      <t>"เครื่องพ่นยา" และ "เครื่องสูบน้ำ" ยังเป็นกระดูกสันหลังหลัก  ควรเน้นการบริหารสต็อกกลุ่มนี้เป็นพิเศษ</t>
    </r>
    <r>
      <rPr>
        <rFont val="Arial"/>
        <b/>
        <color theme="1"/>
        <sz val="11.0"/>
      </rPr>
      <t xml:space="preserve">
⚠️ Risk Alert: </t>
    </r>
    <r>
      <rPr>
        <rFont val="Arial"/>
        <b val="0"/>
        <color theme="1"/>
        <sz val="11.0"/>
      </rPr>
      <t>ตรวจพบยอดติดลบในออเดอร์ที่จบงานแล้ว (สูงสุด -2,581.-)  แนะนำให้ IT/บัญชี ตรวจสอบ Refund Policy ด่วน</t>
    </r>
  </si>
  <si>
    <t>Month</t>
  </si>
  <si>
    <t>Revenue_2024</t>
  </si>
  <si>
    <t>Revenue_2025</t>
  </si>
  <si>
    <t>Order2024</t>
  </si>
  <si>
    <t>Order2025</t>
  </si>
  <si>
    <t>Category_Name</t>
  </si>
  <si>
    <t>Total_Revenue</t>
  </si>
  <si>
    <t>เครื่องพ่นยา</t>
  </si>
  <si>
    <t>เครื่องสูบน้ำ/เรือสูบน้ำ</t>
  </si>
  <si>
    <t>เครื่องมือช่าง</t>
  </si>
  <si>
    <t>อุปกรณ์สำหรับเครื่องฉีดน้ำ</t>
  </si>
  <si>
    <t>ปั๊มน้ำ AC</t>
  </si>
  <si>
    <t>ปั๊มน้ำ DC</t>
  </si>
  <si>
    <t>เครื่องฉีดน้ำ AC</t>
  </si>
  <si>
    <t>อุปกรณ์เครื่องพ่นยา</t>
  </si>
  <si>
    <t>อุปกรณ์เครื่องสูบน้ำ</t>
  </si>
  <si>
    <t>มอเตอร์ไฟฟ้า</t>
  </si>
  <si>
    <t>เครื่องปั่นไฟ</t>
  </si>
  <si>
    <t>เครื่องตัดหญ้า</t>
  </si>
  <si>
    <t>เครื่องเจาะดิน</t>
  </si>
  <si>
    <t>ดอกเจาะดิน</t>
  </si>
  <si>
    <t>อินเวอเตอร์</t>
  </si>
  <si>
    <t>เครื่องฉีดน้ำ ไร้สาย</t>
  </si>
  <si>
    <t>อื่นๆ / จิปาถะ</t>
  </si>
  <si>
    <t>Period</t>
  </si>
  <si>
    <t>Monthly_Revenue</t>
  </si>
  <si>
    <t>Event</t>
  </si>
  <si>
    <t>Supply Chain Issue</t>
  </si>
  <si>
    <t>Partnership Fraud</t>
  </si>
  <si>
    <t>Store</t>
  </si>
  <si>
    <t>Actual_Profit</t>
  </si>
  <si>
    <t>YNJ</t>
  </si>
  <si>
    <t>knn</t>
  </si>
  <si>
    <t>PCR</t>
  </si>
  <si>
    <t>Hot Tools</t>
  </si>
  <si>
    <t>YNJ Tiktok</t>
  </si>
  <si>
    <t>YNJ TOOLS SHOP</t>
  </si>
  <si>
    <t>PCR.</t>
  </si>
  <si>
    <t>Kaikongna</t>
  </si>
  <si>
    <t>MD</t>
  </si>
  <si>
    <t>MY Little Tools</t>
  </si>
  <si>
    <t>MTools Shop</t>
  </si>
  <si>
    <t>Kayana Official</t>
  </si>
  <si>
    <t>My Little</t>
  </si>
  <si>
    <t>kayana</t>
  </si>
  <si>
    <t>RKT</t>
  </si>
  <si>
    <t>KaiDee</t>
  </si>
  <si>
    <t>Bazuka Official</t>
  </si>
  <si>
    <t>Omegaa</t>
  </si>
  <si>
    <t>Kaikong</t>
  </si>
  <si>
    <t>Omega</t>
  </si>
  <si>
    <t>JRBShop</t>
  </si>
  <si>
    <t>JrB Shop</t>
  </si>
  <si>
    <t>Bazuka</t>
  </si>
  <si>
    <t>KaiDee.DTools</t>
  </si>
  <si>
    <t>Lucky</t>
  </si>
  <si>
    <t>rikise</t>
  </si>
  <si>
    <t>Year</t>
  </si>
  <si>
    <t>Net_Revenue</t>
  </si>
  <si>
    <t>Gross_Revenue</t>
  </si>
  <si>
    <t>Success_Rate_Percentage</t>
  </si>
  <si>
    <t>Metric</t>
  </si>
  <si>
    <t>฿43,332,766</t>
  </si>
  <si>
    <t>฿26,441,316</t>
  </si>
  <si>
    <t>-39% 📉</t>
  </si>
  <si>
    <t>-1.4% ⚠️</t>
  </si>
  <si>
    <t>฿4,248,310</t>
  </si>
  <si>
    <t>฿2,203,443</t>
  </si>
  <si>
    <t>-48%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</si>
</sst>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mm/yyyy"/>
    <numFmt numFmtId="166" formatCode="m/yyyy"/>
  </numFmts>
  <fonts count="17">
    <font>
      <sz val="10.0"/>
      <color rgb="FF000000"/>
      <name val="Arial"/>
      <scheme val="minor"/>
    </font>
    <font>
      <b/>
      <sz val="21.0"/>
      <color rgb="FFFFFFFF"/>
      <name val="Arial"/>
      <scheme val="minor"/>
    </font>
    <font>
      <b/>
      <sz val="21.0"/>
      <color theme="0"/>
      <name val="Arial"/>
      <scheme val="minor"/>
    </font>
    <font>
      <b/>
      <sz val="12.0"/>
      <color theme="1"/>
      <name val="&quot;Google Sans Text&quot;"/>
    </font>
    <font>
      <sz val="13.0"/>
      <color theme="1"/>
      <name val="&quot;Google Sans Text&quot;"/>
    </font>
    <font>
      <b/>
      <sz val="13.0"/>
      <color rgb="FF1F1F1F"/>
      <name val="&quot;Google Sans Text&quot;"/>
    </font>
    <font>
      <sz val="13.0"/>
      <color rgb="FF1F1F1F"/>
      <name val="&quot;Google Sans Text&quot;"/>
    </font>
    <font>
      <sz val="19.0"/>
      <color theme="1"/>
      <name val="Arial"/>
      <scheme val="minor"/>
    </font>
    <font>
      <color theme="1"/>
      <name val="Arial"/>
      <scheme val="minor"/>
    </font>
    <font>
      <b/>
      <sz val="12.0"/>
      <color rgb="FFFFFFFF"/>
      <name val="Arial"/>
      <scheme val="minor"/>
    </font>
    <font/>
    <font>
      <b/>
      <color theme="1"/>
      <name val="Arial"/>
      <scheme val="minor"/>
    </font>
    <font>
      <b/>
      <sz val="11.0"/>
      <color theme="1"/>
      <name val="Arial"/>
      <scheme val="minor"/>
    </font>
    <font>
      <b/>
      <sz val="12.0"/>
      <color theme="1"/>
      <name val="Arial"/>
      <scheme val="minor"/>
    </font>
    <font>
      <color theme="1"/>
      <name val="&quot;Google Sans Text&quot;"/>
    </font>
    <font>
      <b/>
      <color rgb="FF1F1F1F"/>
      <name val="&quot;Google Sans Text&quot;"/>
    </font>
    <font>
      <color rgb="FF1F1F1F"/>
      <name val="&quot;Google Sans Text&quot;"/>
    </font>
  </fonts>
  <fills count="7">
    <fill>
      <patternFill patternType="none"/>
    </fill>
    <fill>
      <patternFill patternType="lightGray"/>
    </fill>
    <fill>
      <patternFill patternType="solid">
        <fgColor rgb="FF00B14F"/>
        <bgColor rgb="FF00B14F"/>
      </patternFill>
    </fill>
    <fill>
      <patternFill patternType="solid">
        <fgColor rgb="FFB6D7A8"/>
        <bgColor rgb="FFB6D7A8"/>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s>
  <borders count="17">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rder>
    <border>
      <right style="thin">
        <color rgb="FF666666"/>
      </right>
    </border>
    <border>
      <left style="thin">
        <color rgb="FF666666"/>
      </left>
      <bottom style="thin">
        <color rgb="FF666666"/>
      </bottom>
    </border>
    <border>
      <bottom style="thin">
        <color rgb="FF666666"/>
      </bottom>
    </border>
    <border>
      <right style="thin">
        <color rgb="FF666666"/>
      </right>
      <bottom style="thin">
        <color rgb="FF666666"/>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1" fillId="3" fontId="3" numFmtId="0" xfId="0" applyAlignment="1" applyBorder="1" applyFill="1" applyFont="1">
      <alignment horizontal="center" readingOrder="0" vertical="center"/>
    </xf>
    <xf borderId="2" fillId="4" fontId="4" numFmtId="0" xfId="0" applyAlignment="1" applyBorder="1" applyFill="1" applyFont="1">
      <alignment horizontal="center" readingOrder="0" vertical="center"/>
    </xf>
    <xf borderId="3" fillId="4" fontId="4" numFmtId="0" xfId="0" applyAlignment="1" applyBorder="1" applyFont="1">
      <alignment horizontal="center" readingOrder="0" vertical="center"/>
    </xf>
    <xf borderId="4" fillId="5" fontId="5" numFmtId="0" xfId="0" applyAlignment="1" applyBorder="1" applyFill="1" applyFont="1">
      <alignment horizontal="center" readingOrder="0" vertical="center"/>
    </xf>
    <xf borderId="0" fillId="5" fontId="6" numFmtId="164" xfId="0" applyAlignment="1" applyFont="1" applyNumberFormat="1">
      <alignment horizontal="right" readingOrder="0" vertical="center"/>
    </xf>
    <xf borderId="5" fillId="5" fontId="5" numFmtId="10" xfId="0" applyAlignment="1" applyBorder="1" applyFont="1" applyNumberFormat="1">
      <alignment horizontal="right" readingOrder="0" vertical="center"/>
    </xf>
    <xf borderId="0" fillId="0" fontId="7" numFmtId="0" xfId="0" applyAlignment="1" applyFont="1">
      <alignment horizontal="center" vertical="center"/>
    </xf>
    <xf borderId="0" fillId="5" fontId="6" numFmtId="10" xfId="0" applyAlignment="1" applyFont="1" applyNumberFormat="1">
      <alignment horizontal="right" readingOrder="0" vertical="center"/>
    </xf>
    <xf borderId="6" fillId="5" fontId="5" numFmtId="0" xfId="0" applyAlignment="1" applyBorder="1" applyFont="1">
      <alignment horizontal="center" readingOrder="0" vertical="center"/>
    </xf>
    <xf borderId="7" fillId="5" fontId="6" numFmtId="164" xfId="0" applyAlignment="1" applyBorder="1" applyFont="1" applyNumberFormat="1">
      <alignment horizontal="right" readingOrder="0" vertical="center"/>
    </xf>
    <xf borderId="8" fillId="5" fontId="5" numFmtId="10" xfId="0" applyAlignment="1" applyBorder="1" applyFont="1" applyNumberFormat="1">
      <alignment horizontal="right" readingOrder="0" vertical="center"/>
    </xf>
    <xf borderId="0" fillId="0" fontId="8" numFmtId="0" xfId="0" applyAlignment="1" applyFont="1">
      <alignment vertical="center"/>
    </xf>
    <xf borderId="1" fillId="2" fontId="9" numFmtId="0" xfId="0" applyAlignment="1" applyBorder="1" applyFont="1">
      <alignment horizontal="center" readingOrder="0" vertical="center"/>
    </xf>
    <xf borderId="2" fillId="0" fontId="10" numFmtId="0" xfId="0" applyBorder="1" applyFont="1"/>
    <xf borderId="3" fillId="0" fontId="10" numFmtId="0" xfId="0" applyBorder="1" applyFont="1"/>
    <xf borderId="4" fillId="4" fontId="11" numFmtId="0" xfId="0" applyAlignment="1" applyBorder="1" applyFont="1">
      <alignment horizontal="center" readingOrder="0" vertical="center"/>
    </xf>
    <xf borderId="0" fillId="4" fontId="11" numFmtId="0" xfId="0" applyAlignment="1" applyFont="1">
      <alignment horizontal="center" readingOrder="0" vertical="center"/>
    </xf>
    <xf borderId="5" fillId="4" fontId="11" numFmtId="0" xfId="0" applyAlignment="1" applyBorder="1" applyFont="1">
      <alignment horizontal="center" readingOrder="0" vertical="center"/>
    </xf>
    <xf borderId="4" fillId="6" fontId="8" numFmtId="11" xfId="0" applyAlignment="1" applyBorder="1" applyFill="1" applyFont="1" applyNumberFormat="1">
      <alignment readingOrder="0" vertical="center"/>
    </xf>
    <xf borderId="0" fillId="6" fontId="8" numFmtId="0" xfId="0" applyAlignment="1" applyFont="1">
      <alignment readingOrder="0" vertical="center"/>
    </xf>
    <xf borderId="5" fillId="6" fontId="8" numFmtId="0" xfId="0" applyAlignment="1" applyBorder="1" applyFont="1">
      <alignment readingOrder="0" vertical="center"/>
    </xf>
    <xf borderId="6" fillId="6" fontId="8" numFmtId="11" xfId="0" applyAlignment="1" applyBorder="1" applyFont="1" applyNumberFormat="1">
      <alignment readingOrder="0" vertical="center"/>
    </xf>
    <xf borderId="7" fillId="6" fontId="8" numFmtId="0" xfId="0" applyAlignment="1" applyBorder="1" applyFont="1">
      <alignment readingOrder="0" vertical="center"/>
    </xf>
    <xf borderId="8" fillId="6" fontId="8" numFmtId="0" xfId="0" applyAlignment="1" applyBorder="1" applyFont="1">
      <alignment readingOrder="0" vertical="center"/>
    </xf>
    <xf borderId="9" fillId="5" fontId="12" numFmtId="0" xfId="0" applyAlignment="1" applyBorder="1" applyFont="1">
      <alignment readingOrder="0" shrinkToFit="0" vertical="center" wrapText="1"/>
    </xf>
    <xf borderId="10" fillId="0" fontId="10" numFmtId="0" xfId="0" applyBorder="1" applyFont="1"/>
    <xf borderId="11" fillId="0" fontId="10" numFmtId="0" xfId="0" applyBorder="1" applyFont="1"/>
    <xf borderId="12" fillId="0" fontId="10" numFmtId="0" xfId="0" applyBorder="1" applyFont="1"/>
    <xf borderId="13" fillId="0" fontId="10" numFmtId="0" xfId="0" applyBorder="1" applyFont="1"/>
    <xf borderId="14" fillId="0" fontId="10" numFmtId="0" xfId="0" applyBorder="1" applyFont="1"/>
    <xf borderId="15" fillId="0" fontId="10" numFmtId="0" xfId="0" applyBorder="1" applyFont="1"/>
    <xf borderId="16" fillId="0" fontId="10" numFmtId="0" xfId="0" applyBorder="1" applyFont="1"/>
    <xf borderId="0" fillId="0" fontId="11" numFmtId="0" xfId="0" applyFont="1"/>
    <xf borderId="0" fillId="0" fontId="8" numFmtId="0" xfId="0" applyAlignment="1" applyFont="1">
      <alignment readingOrder="0" shrinkToFit="0" vertical="top" wrapText="1"/>
    </xf>
    <xf borderId="0" fillId="3" fontId="13" numFmtId="0" xfId="0" applyAlignment="1" applyFont="1">
      <alignment horizontal="center" readingOrder="0" vertical="center"/>
    </xf>
    <xf borderId="0" fillId="0" fontId="8" numFmtId="0" xfId="0" applyAlignment="1" applyFont="1">
      <alignment horizontal="left" readingOrder="0" shrinkToFit="0" vertical="center" wrapText="0"/>
    </xf>
    <xf borderId="0" fillId="0" fontId="8" numFmtId="0" xfId="0" applyAlignment="1" applyFont="1">
      <alignment readingOrder="0" shrinkToFit="0" vertical="center" wrapText="0"/>
    </xf>
    <xf borderId="0" fillId="0" fontId="8" numFmtId="164" xfId="0" applyAlignment="1" applyFont="1" applyNumberFormat="1">
      <alignment readingOrder="0" shrinkToFit="0" vertical="center" wrapText="0"/>
    </xf>
    <xf borderId="0" fillId="0" fontId="8" numFmtId="0" xfId="0" applyAlignment="1" applyFont="1">
      <alignment readingOrder="0"/>
    </xf>
    <xf borderId="0" fillId="0" fontId="8" numFmtId="0" xfId="0" applyFont="1"/>
    <xf borderId="0" fillId="0" fontId="8" numFmtId="0" xfId="0" applyAlignment="1" applyFont="1">
      <alignment horizontal="left" readingOrder="0" shrinkToFit="0" vertical="center" wrapText="0"/>
    </xf>
    <xf borderId="0" fillId="0" fontId="8" numFmtId="165" xfId="0" applyAlignment="1" applyFont="1" applyNumberFormat="1">
      <alignment readingOrder="0" shrinkToFit="0" vertical="center" wrapText="0"/>
    </xf>
    <xf borderId="0" fillId="0" fontId="8" numFmtId="166" xfId="0" applyAlignment="1" applyFont="1" applyNumberFormat="1">
      <alignment readingOrder="0" shrinkToFit="0" vertical="center" wrapText="0"/>
    </xf>
    <xf borderId="0" fillId="0" fontId="8" numFmtId="11" xfId="0" applyAlignment="1" applyFont="1" applyNumberFormat="1">
      <alignment readingOrder="0" shrinkToFit="0" vertical="center" wrapText="0"/>
    </xf>
    <xf borderId="0" fillId="0" fontId="14" numFmtId="0" xfId="0" applyAlignment="1" applyFont="1">
      <alignment horizontal="left" readingOrder="0" shrinkToFit="0" vertical="center" wrapText="0"/>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16" numFmtId="10" xfId="0" applyAlignment="1" applyFont="1" applyNumberFormat="1">
      <alignment readingOrder="0" shrinkToFit="0" vertical="center" wrapText="0"/>
    </xf>
  </cellXfs>
  <cellStyles count="1">
    <cellStyle xfId="0" name="Normal" builtinId="0"/>
  </cellStyles>
  <dxfs count="7">
    <dxf>
      <font/>
      <fill>
        <patternFill patternType="solid">
          <fgColor rgb="FFE06666"/>
          <bgColor rgb="FFE06666"/>
        </patternFill>
      </fill>
      <border/>
    </dxf>
    <dxf>
      <font/>
      <fill>
        <patternFill patternType="solid">
          <fgColor rgb="FF93C47D"/>
          <bgColor rgb="FF93C47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DATA-style">
      <tableStyleElement dxfId="3" type="headerRow"/>
      <tableStyleElement dxfId="4" type="firstRowStripe"/>
      <tableStyleElement dxfId="5" type="secondRowStripe"/>
      <tableStyleElement dxfId="6" size="0" type="wholeTable"/>
    </tableStyle>
    <tableStyle count="4" pivot="0" name="DATA-style 2">
      <tableStyleElement dxfId="3" type="headerRow"/>
      <tableStyleElement dxfId="4" type="firstRowStripe"/>
      <tableStyleElement dxfId="5" type="secondRowStripe"/>
      <tableStyleElement dxfId="6" size="0" type="wholeTable"/>
    </tableStyle>
    <tableStyle count="4" pivot="0" name="DATA-style 5">
      <tableStyleElement dxfId="3" type="headerRow"/>
      <tableStyleElement dxfId="4" type="firstRowStripe"/>
      <tableStyleElement dxfId="5" type="secondRowStripe"/>
      <tableStyleElement dxfId="6" size="0" type="wholeTable"/>
    </tableStyle>
    <tableStyle count="4" pivot="0" name="DATA-style 6">
      <tableStyleElement dxfId="3" type="headerRow"/>
      <tableStyleElement dxfId="4" type="firstRowStripe"/>
      <tableStyleElement dxfId="5" type="secondRowStripe"/>
      <tableStyleElement dxfId="6" size="0" type="wholeTable"/>
    </tableStyle>
    <tableStyle count="4" pivot="0" name="DATA-style 7">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434343"/>
                </a:solidFill>
                <a:latin typeface="+mn-lt"/>
              </a:defRPr>
            </a:pPr>
            <a:r>
              <a:rPr b="1" sz="2000">
                <a:solidFill>
                  <a:srgbClr val="434343"/>
                </a:solidFill>
                <a:latin typeface="+mn-lt"/>
              </a:rPr>
              <a:t>Top 5 Revenue By Category 2025</a:t>
            </a:r>
          </a:p>
        </c:rich>
      </c:tx>
      <c:overlay val="0"/>
    </c:title>
    <c:plotArea>
      <c:layout/>
      <c:doughnutChart>
        <c:varyColors val="1"/>
        <c:ser>
          <c:idx val="0"/>
          <c:order val="0"/>
          <c:tx>
            <c:strRef>
              <c:f>DATA!$B$16</c:f>
            </c:strRef>
          </c:tx>
          <c:dPt>
            <c:idx val="0"/>
            <c:explosion val="0"/>
            <c:spPr>
              <a:solidFill>
                <a:srgbClr val="38761D"/>
              </a:solidFill>
            </c:spPr>
          </c:dPt>
          <c:dPt>
            <c:idx val="1"/>
            <c:spPr>
              <a:solidFill>
                <a:srgbClr val="6AA84F"/>
              </a:solidFill>
            </c:spPr>
          </c:dPt>
          <c:dPt>
            <c:idx val="2"/>
            <c:spPr>
              <a:solidFill>
                <a:srgbClr val="B6D7A8"/>
              </a:solidFill>
            </c:spPr>
          </c:dPt>
          <c:dPt>
            <c:idx val="3"/>
            <c:spPr>
              <a:solidFill>
                <a:srgbClr val="B7B7B7"/>
              </a:solidFill>
            </c:spPr>
          </c:dPt>
          <c:dPt>
            <c:idx val="4"/>
            <c:spPr>
              <a:solidFill>
                <a:srgbClr val="D9D9D9"/>
              </a:solidFill>
            </c:spPr>
          </c:dPt>
          <c:dLbls>
            <c:showLegendKey val="0"/>
            <c:showVal val="0"/>
            <c:showCatName val="0"/>
            <c:showSerName val="0"/>
            <c:showPercent val="1"/>
            <c:showBubbleSize val="0"/>
            <c:showLeaderLines val="1"/>
          </c:dLbls>
          <c:cat>
            <c:strRef>
              <c:f>DATA!$A$17:$A$21</c:f>
            </c:strRef>
          </c:cat>
          <c:val>
            <c:numRef>
              <c:f>DATA!$B$17:$B$21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6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Top 5 Performing Stores</a:t>
            </a:r>
          </a:p>
        </c:rich>
      </c:tx>
      <c:layout>
        <c:manualLayout>
          <c:xMode val="edge"/>
          <c:yMode val="edge"/>
          <c:x val="0.031012658227848093"/>
          <c:y val="0.04708454810495628"/>
        </c:manualLayout>
      </c:layout>
      <c:overlay val="0"/>
    </c:title>
    <c:plotArea>
      <c:layout>
        <c:manualLayout>
          <c:xMode val="edge"/>
          <c:yMode val="edge"/>
          <c:x val="0.14595388788426758"/>
          <c:y val="0.141642371234208"/>
          <c:w val="0.8459086799276673"/>
          <c:h val="0.7558794946550048"/>
        </c:manualLayout>
      </c:layout>
      <c:barChart>
        <c:barDir val="bar"/>
        <c:ser>
          <c:idx val="0"/>
          <c:order val="0"/>
          <c:tx>
            <c:strRef>
              <c:f>DATA!$B$62</c:f>
            </c:strRef>
          </c:tx>
          <c:spPr>
            <a:solidFill>
              <a:srgbClr val="00B14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DATA!$A$63:$A$67</c:f>
            </c:strRef>
          </c:cat>
          <c:val>
            <c:numRef>
              <c:f>DATA!$B$63:$B$67</c:f>
              <c:numCache/>
            </c:numRef>
          </c:val>
        </c:ser>
        <c:axId val="758854491"/>
        <c:axId val="2130139410"/>
      </c:barChart>
      <c:catAx>
        <c:axId val="7588544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30139410"/>
      </c:catAx>
      <c:valAx>
        <c:axId val="213013941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8854491"/>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Total_Revenue</a:t>
            </a:r>
          </a:p>
        </c:rich>
      </c:tx>
      <c:overlay val="0"/>
    </c:title>
    <c:plotArea>
      <c:layout/>
      <c:doughnutChart>
        <c:varyColors val="1"/>
        <c:ser>
          <c:idx val="0"/>
          <c:order val="0"/>
          <c:tx>
            <c:strRef>
              <c:f>DATA!$B$16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Lbls>
            <c:showLegendKey val="0"/>
            <c:showVal val="0"/>
            <c:showCatName val="0"/>
            <c:showSerName val="0"/>
            <c:showPercent val="0"/>
            <c:showBubbleSize val="0"/>
            <c:showLeaderLines val="1"/>
          </c:dLbls>
          <c:cat>
            <c:strRef>
              <c:f>DATA!$A$17:$A$33</c:f>
            </c:strRef>
          </c:cat>
          <c:val>
            <c:numRef>
              <c:f>DATA!$B$17:$B$33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6</xdr:row>
      <xdr:rowOff>161925</xdr:rowOff>
    </xdr:from>
    <xdr:ext cx="5857875" cy="3267075"/>
    <xdr:pic>
      <xdr:nvPicPr>
        <xdr:cNvPr id="206799427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438150</xdr:colOff>
      <xdr:row>1</xdr:row>
      <xdr:rowOff>9525</xdr:rowOff>
    </xdr:from>
    <xdr:ext cx="6829425" cy="4219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457200</xdr:colOff>
      <xdr:row>21</xdr:row>
      <xdr:rowOff>123825</xdr:rowOff>
    </xdr:from>
    <xdr:ext cx="5267325" cy="32670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1685925</xdr:colOff>
      <xdr:row>7</xdr:row>
      <xdr:rowOff>133350</xdr:rowOff>
    </xdr:from>
    <xdr:ext cx="1885950" cy="2857500"/>
    <mc:AlternateContent>
      <mc:Choice Requires="sle15">
        <xdr:graphicFrame>
          <xdr:nvGraphicFramePr>
            <xdr:cNvPr id="1" name="Period_1"/>
            <xdr:cNvGraphicFramePr/>
          </xdr:nvGraphicFramePr>
          <xdr:xfrm>
            <a:off x="0" y="0"/>
            <a:ext cx="0" cy="0"/>
          </xdr:xfrm>
          <a:graphic>
            <a:graphicData uri="http://schemas.microsoft.com/office/drawing/2010/slicer">
              <x3Unk:slicer name="Perio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1485900</xdr:colOff>
      <xdr:row>35</xdr:row>
      <xdr:rowOff>66675</xdr:rowOff>
    </xdr:from>
    <xdr:ext cx="2857500" cy="2857500"/>
    <mc:AlternateContent>
      <mc:Choice Requires="sle15">
        <xdr:graphicFrame>
          <xdr:nvGraphicFramePr>
            <xdr:cNvPr id="2" name="Store_2"/>
            <xdr:cNvGraphicFramePr/>
          </xdr:nvGraphicFramePr>
          <xdr:xfrm>
            <a:off x="0" y="0"/>
            <a:ext cx="0" cy="0"/>
          </xdr:xfrm>
          <a:graphic>
            <a:graphicData uri="http://schemas.microsoft.com/office/drawing/2010/slicer">
              <x3Unk:slicer name="Stor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247650</xdr:colOff>
      <xdr:row>19</xdr:row>
      <xdr:rowOff>333375</xdr:rowOff>
    </xdr:from>
    <xdr:ext cx="2809875" cy="381000"/>
    <xdr:sp>
      <xdr:nvSpPr>
        <xdr:cNvPr id="3" name="Shape 3"/>
        <xdr:cNvSpPr txBox="1"/>
      </xdr:nvSpPr>
      <xdr:spPr>
        <a:xfrm>
          <a:off x="1452950" y="1290850"/>
          <a:ext cx="3573000" cy="436500"/>
        </a:xfrm>
        <a:prstGeom prst="rect">
          <a:avLst/>
        </a:prstGeom>
        <a:solidFill>
          <a:srgbClr val="F4CC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 2024 Q3: Partnership Fraud (China)</a:t>
          </a:r>
          <a:endParaRPr sz="1400"/>
        </a:p>
      </xdr:txBody>
    </xdr:sp>
    <xdr:clientData fLocksWithSheet="0"/>
  </xdr:oneCellAnchor>
  <xdr:oneCellAnchor>
    <xdr:from>
      <xdr:col>1</xdr:col>
      <xdr:colOff>1400175</xdr:colOff>
      <xdr:row>19</xdr:row>
      <xdr:rowOff>314325</xdr:rowOff>
    </xdr:from>
    <xdr:ext cx="3209925" cy="381000"/>
    <xdr:sp>
      <xdr:nvSpPr>
        <xdr:cNvPr id="4" name="Shape 4"/>
        <xdr:cNvSpPr txBox="1"/>
      </xdr:nvSpPr>
      <xdr:spPr>
        <a:xfrm>
          <a:off x="1138275" y="763000"/>
          <a:ext cx="3938700" cy="436500"/>
        </a:xfrm>
        <a:prstGeom prst="rect">
          <a:avLst/>
        </a:prstGeom>
        <a:solidFill>
          <a:srgbClr val="FFF2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🚩2024-2025 Q1: Supply Chain Issue (ตรุษจีน)</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752475</xdr:colOff>
      <xdr:row>22</xdr:row>
      <xdr:rowOff>95250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361950</xdr:colOff>
      <xdr:row>62</xdr:row>
      <xdr:rowOff>247650</xdr:rowOff>
    </xdr:from>
    <xdr:ext cx="2857500" cy="2857500"/>
    <mc:AlternateContent>
      <mc:Choice Requires="sle15">
        <xdr:graphicFrame>
          <xdr:nvGraphicFramePr>
            <xdr:cNvPr id="3" name="Period_3"/>
            <xdr:cNvGraphicFramePr/>
          </xdr:nvGraphicFramePr>
          <xdr:xfrm>
            <a:off x="0" y="0"/>
            <a:ext cx="0" cy="0"/>
          </xdr:xfrm>
          <a:graphic>
            <a:graphicData uri="http://schemas.microsoft.com/office/drawing/2010/slicer">
              <x3Unk:slicer name="Perio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361950</xdr:colOff>
      <xdr:row>65</xdr:row>
      <xdr:rowOff>104775</xdr:rowOff>
    </xdr:from>
    <xdr:ext cx="2857500" cy="2857500"/>
    <mc:AlternateContent>
      <mc:Choice Requires="sle15">
        <xdr:graphicFrame>
          <xdr:nvGraphicFramePr>
            <xdr:cNvPr id="4" name="Store_4"/>
            <xdr:cNvGraphicFramePr/>
          </xdr:nvGraphicFramePr>
          <xdr:xfrm>
            <a:off x="0" y="0"/>
            <a:ext cx="0" cy="0"/>
          </xdr:xfrm>
          <a:graphic>
            <a:graphicData uri="http://schemas.microsoft.com/office/drawing/2010/slicer">
              <x3Unk:slicer name="Stor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Period">
  <x14:extLst>
    <ext uri="{2F2917AC-EB37-4324-AD4E-5DD8C200BD13}">
      <x15:tableSlicerCache tableId="3"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Store">
  <x14:extLst>
    <ext uri="{2F2917AC-EB37-4324-AD4E-5DD8C200BD13}">
      <x15:tableSlicerCache tableId="4"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eriod_1" cache="SlicerCache_Table_3_Col_1" caption="Period" rowHeight="247650"/>
  <x14:slicer name="Store_2" cache="SlicerCache_Table_4_Col_1" caption="Stor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eriod_3" cache="SlicerCache_Table_3_Col_1" caption="Period" rowHeight="247650"/>
  <x14:slicer name="Store_4" cache="SlicerCache_Table_4_Col_1" caption="Store" rowHeight="247650"/>
</x14:slicers>
</file>

<file path=xl/tables/table1.xml><?xml version="1.0" encoding="utf-8"?>
<table xmlns="http://schemas.openxmlformats.org/spreadsheetml/2006/main" ref="A1:C13" displayName="yoy_Revenue" name="yoy_Revenue" id="1">
  <tableColumns count="3">
    <tableColumn name="Month" id="1"/>
    <tableColumn name="Revenue_2024" id="2"/>
    <tableColumn name="Revenue_2025" id="3"/>
  </tableColumns>
  <tableStyleInfo name="DATA-style" showColumnStripes="0" showFirstColumn="1" showLastColumn="1" showRowStripes="1"/>
</table>
</file>

<file path=xl/tables/table2.xml><?xml version="1.0" encoding="utf-8"?>
<table xmlns="http://schemas.openxmlformats.org/spreadsheetml/2006/main" ref="A16:B33" displayName="Revenue_by_category" name="Revenue_by_category" id="2">
  <tableColumns count="2">
    <tableColumn name="Category_Name" id="1"/>
    <tableColumn name="Total_Revenue" id="2"/>
  </tableColumns>
  <tableStyleInfo name="DATA-style 2" showColumnStripes="0" showFirstColumn="1" showLastColumn="1" showRowStripes="1"/>
</table>
</file>

<file path=xl/tables/table3.xml><?xml version="1.0" encoding="utf-8"?>
<table xmlns="http://schemas.openxmlformats.org/spreadsheetml/2006/main" ref="A37:B60" displayName="Table_1" name="Table_1" id="3">
  <autoFilter ref="$A$37:$B$60"/>
  <tableColumns count="2">
    <tableColumn name="Period" id="1"/>
    <tableColumn name="Monthly_Revenue" id="2"/>
  </tableColumns>
  <tableStyleInfo showColumnStripes="0" showFirstColumn="0" showLastColumn="0" showRowStripes="0"/>
</table>
</file>

<file path=xl/tables/table4.xml><?xml version="1.0" encoding="utf-8"?>
<table xmlns="http://schemas.openxmlformats.org/spreadsheetml/2006/main" ref="A62:B67" displayName="Table_2" name="Table_2" id="4">
  <autoFilter ref="$A$62:$B$67"/>
  <tableColumns count="2">
    <tableColumn name="Store" id="1"/>
    <tableColumn name="Actual_Profit" id="2"/>
  </tableColumns>
  <tableStyleInfo showColumnStripes="0" showFirstColumn="0" showLastColumn="0" showRowStripes="0"/>
</table>
</file>

<file path=xl/tables/table5.xml><?xml version="1.0" encoding="utf-8"?>
<table xmlns="http://schemas.openxmlformats.org/spreadsheetml/2006/main" ref="A91:G94" displayName="Operational_Audit" name="Operational_Audit" id="5">
  <tableColumns count="7">
    <tableColumn name="Order No" id="1"/>
    <tableColumn name="Merchant SKU" id="2"/>
    <tableColumn name="Order Status" id="3"/>
    <tableColumn name="Order Revenue" id="4"/>
    <tableColumn name="Profit/Loss" id="5"/>
    <tableColumn name="Shipping Fee Paid by Seller" id="6"/>
    <tableColumn name="Commission Fee" id="7"/>
  </tableColumns>
  <tableStyleInfo name="DATA-style 5" showColumnStripes="0" showFirstColumn="1" showLastColumn="1" showRowStripes="1"/>
</table>
</file>

<file path=xl/tables/table6.xml><?xml version="1.0" encoding="utf-8"?>
<table xmlns="http://schemas.openxmlformats.org/spreadsheetml/2006/main" ref="A97:D99" displayName="Executive_Scorecard" name="Executive_Scorecard" id="6">
  <tableColumns count="4">
    <tableColumn name="Year" id="1"/>
    <tableColumn name="Net_Revenue" id="2"/>
    <tableColumn name="Gross_Revenue" id="3"/>
    <tableColumn name="Success_Rate_Percentage" id="4"/>
  </tableColumns>
  <tableStyleInfo name="DATA-style 6" showColumnStripes="0" showFirstColumn="1" showLastColumn="1" showRowStripes="1"/>
</table>
</file>

<file path=xl/tables/table7.xml><?xml version="1.0" encoding="utf-8"?>
<table xmlns="http://schemas.openxmlformats.org/spreadsheetml/2006/main" ref="A102:D105" displayName="Revenue" name="Revenue" id="7">
  <tableColumns count="4">
    <tableColumn name="Metric" id="1"/>
    <tableColumn name="2024 (Baseline)" id="2"/>
    <tableColumn name="2025 (YTD)" id="3"/>
    <tableColumn name="Change (%)" id="4"/>
  </tableColumns>
  <tableStyleInfo name="DATA-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 Id="rId16"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25"/>
    <col customWidth="1" min="2" max="2" width="20.75"/>
    <col customWidth="1" min="3" max="3" width="22.38"/>
    <col customWidth="1" min="4" max="4" width="20.0"/>
    <col customWidth="1" min="5" max="5" width="9.25"/>
    <col customWidth="1" min="6" max="6" width="15.13"/>
    <col customWidth="1" min="7" max="7" width="11.25"/>
    <col customWidth="1" min="9" max="9" width="11.0"/>
    <col customWidth="1" min="10" max="10" width="23.5"/>
    <col customWidth="1" min="11" max="11" width="22.38"/>
  </cols>
  <sheetData>
    <row r="1">
      <c r="A1" s="1" t="s">
        <v>0</v>
      </c>
      <c r="L1" s="2"/>
      <c r="M1" s="2"/>
      <c r="N1" s="2"/>
      <c r="O1" s="2"/>
      <c r="P1" s="2"/>
    </row>
    <row r="2" ht="30.75" customHeight="1">
      <c r="A2" s="3" t="s">
        <v>1</v>
      </c>
      <c r="B2" s="4" t="s">
        <v>2</v>
      </c>
      <c r="C2" s="4" t="s">
        <v>3</v>
      </c>
      <c r="D2" s="5" t="s">
        <v>4</v>
      </c>
    </row>
    <row r="3" ht="30.75" customHeight="1">
      <c r="A3" s="6" t="s">
        <v>5</v>
      </c>
      <c r="B3" s="7">
        <f>SUM(yoy_Revenue[Revenue_2024])</f>
        <v>42210566.35</v>
      </c>
      <c r="C3" s="7">
        <f>SUM(yoy_Revenue[Revenue_2025])</f>
        <v>26441315.6</v>
      </c>
      <c r="D3" s="8">
        <f t="shared" ref="D3:D6" si="1">(C3-B3) /B3 </f>
        <v>-0.3735853866</v>
      </c>
      <c r="E3" s="9"/>
    </row>
    <row r="4" ht="30.75" customHeight="1">
      <c r="A4" s="6" t="s">
        <v>6</v>
      </c>
      <c r="B4" s="10">
        <v>0.896</v>
      </c>
      <c r="C4" s="10">
        <v>0.882</v>
      </c>
      <c r="D4" s="8">
        <f t="shared" si="1"/>
        <v>-0.015625</v>
      </c>
      <c r="E4" s="9"/>
    </row>
    <row r="5" ht="30.75" customHeight="1">
      <c r="A5" s="6" t="s">
        <v>7</v>
      </c>
      <c r="B5" s="7">
        <v>4248310.0</v>
      </c>
      <c r="C5" s="7">
        <v>2203443.0</v>
      </c>
      <c r="D5" s="8">
        <f t="shared" si="1"/>
        <v>-0.4813365785</v>
      </c>
      <c r="E5" s="9"/>
    </row>
    <row r="6" ht="30.75" customHeight="1">
      <c r="A6" s="11" t="s">
        <v>8</v>
      </c>
      <c r="B6" s="12">
        <f>B3/DATA!E3</f>
        <v>1971.443013</v>
      </c>
      <c r="C6" s="12">
        <f>C3/DATA!F3</f>
        <v>1626.257187</v>
      </c>
      <c r="D6" s="13">
        <f t="shared" si="1"/>
        <v>-0.175092977</v>
      </c>
      <c r="E6" s="9"/>
    </row>
    <row r="19" ht="48.0" customHeight="1"/>
    <row r="20" ht="27.0" customHeight="1">
      <c r="A20" s="14"/>
      <c r="B20" s="14"/>
      <c r="C20" s="14"/>
      <c r="D20" s="14"/>
      <c r="E20" s="15" t="s">
        <v>9</v>
      </c>
      <c r="F20" s="16"/>
      <c r="G20" s="16"/>
      <c r="H20" s="16"/>
      <c r="I20" s="16"/>
      <c r="J20" s="16"/>
      <c r="K20" s="17"/>
      <c r="L20" s="14"/>
      <c r="M20" s="14"/>
      <c r="N20" s="14"/>
      <c r="O20" s="14"/>
      <c r="P20" s="14"/>
      <c r="Q20" s="14"/>
      <c r="R20" s="14"/>
      <c r="S20" s="14"/>
      <c r="T20" s="14"/>
      <c r="U20" s="14"/>
      <c r="V20" s="14"/>
      <c r="W20" s="14"/>
      <c r="X20" s="14"/>
      <c r="Y20" s="14"/>
      <c r="Z20" s="14"/>
    </row>
    <row r="21" ht="21.75" customHeight="1">
      <c r="E21" s="18" t="s">
        <v>10</v>
      </c>
      <c r="F21" s="19" t="s">
        <v>11</v>
      </c>
      <c r="G21" s="19" t="s">
        <v>12</v>
      </c>
      <c r="H21" s="19" t="s">
        <v>13</v>
      </c>
      <c r="I21" s="19" t="s">
        <v>14</v>
      </c>
      <c r="J21" s="19" t="s">
        <v>15</v>
      </c>
      <c r="K21" s="20" t="s">
        <v>16</v>
      </c>
    </row>
    <row r="22" ht="23.25" customHeight="1">
      <c r="E22" s="21">
        <v>5.78741E17</v>
      </c>
      <c r="F22" s="22" t="s">
        <v>17</v>
      </c>
      <c r="G22" s="22" t="s">
        <v>18</v>
      </c>
      <c r="H22" s="22">
        <v>-2581.75</v>
      </c>
      <c r="I22" s="22">
        <v>-2581.75</v>
      </c>
      <c r="J22" s="22">
        <v>-495.0</v>
      </c>
      <c r="K22" s="23">
        <v>122.52</v>
      </c>
    </row>
    <row r="23" ht="23.25" customHeight="1">
      <c r="E23" s="21">
        <v>1.05956E15</v>
      </c>
      <c r="F23" s="22" t="s">
        <v>19</v>
      </c>
      <c r="G23" s="22" t="s">
        <v>18</v>
      </c>
      <c r="H23" s="22">
        <v>-2324.95</v>
      </c>
      <c r="I23" s="22">
        <v>-2324.95</v>
      </c>
      <c r="J23" s="22">
        <v>0.0</v>
      </c>
      <c r="K23" s="23">
        <v>-242.94</v>
      </c>
    </row>
    <row r="24" ht="23.25" customHeight="1">
      <c r="E24" s="24">
        <v>9.6853E14</v>
      </c>
      <c r="F24" s="25" t="s">
        <v>20</v>
      </c>
      <c r="G24" s="25" t="s">
        <v>18</v>
      </c>
      <c r="H24" s="25">
        <v>-714.75</v>
      </c>
      <c r="I24" s="25">
        <v>-714.75</v>
      </c>
      <c r="J24" s="25">
        <v>0.0</v>
      </c>
      <c r="K24" s="26">
        <v>-514.41</v>
      </c>
    </row>
    <row r="25" ht="47.25" customHeight="1"/>
    <row r="26">
      <c r="E26" s="27" t="s">
        <v>21</v>
      </c>
      <c r="F26" s="28"/>
      <c r="G26" s="28"/>
      <c r="H26" s="28"/>
      <c r="I26" s="28"/>
      <c r="J26" s="28"/>
      <c r="K26" s="29"/>
    </row>
    <row r="27">
      <c r="E27" s="30"/>
      <c r="K27" s="31"/>
    </row>
    <row r="28">
      <c r="E28" s="30"/>
      <c r="K28" s="31"/>
    </row>
    <row r="29">
      <c r="E29" s="30"/>
      <c r="K29" s="31"/>
    </row>
    <row r="30">
      <c r="E30" s="32"/>
      <c r="F30" s="33"/>
      <c r="G30" s="33"/>
      <c r="H30" s="33"/>
      <c r="I30" s="33"/>
      <c r="J30" s="33"/>
      <c r="K30" s="34"/>
    </row>
    <row r="31">
      <c r="E31" s="35"/>
      <c r="F31" s="36"/>
      <c r="G31" s="36"/>
      <c r="H31" s="36"/>
      <c r="I31" s="36"/>
      <c r="J31" s="36"/>
      <c r="K31" s="36"/>
    </row>
    <row r="32">
      <c r="E32" s="36"/>
      <c r="F32" s="36"/>
      <c r="G32" s="36"/>
      <c r="H32" s="36"/>
      <c r="I32" s="36"/>
      <c r="J32" s="36"/>
      <c r="K32" s="36"/>
    </row>
    <row r="33">
      <c r="G33" s="36"/>
      <c r="H33" s="36"/>
      <c r="I33" s="36"/>
      <c r="J33" s="36"/>
      <c r="K33" s="36"/>
    </row>
    <row r="34">
      <c r="E34" s="37" t="s">
        <v>1</v>
      </c>
      <c r="G34" s="36"/>
      <c r="H34" s="36"/>
      <c r="I34" s="36"/>
      <c r="J34" s="36"/>
      <c r="K34" s="36"/>
    </row>
    <row r="35">
      <c r="G35" s="36"/>
      <c r="H35" s="36"/>
      <c r="I35" s="36"/>
      <c r="J35" s="36"/>
      <c r="K35" s="36"/>
    </row>
    <row r="36">
      <c r="E36" s="36"/>
      <c r="F36" s="36"/>
      <c r="G36" s="36"/>
      <c r="H36" s="36"/>
      <c r="I36" s="36"/>
      <c r="J36" s="36"/>
      <c r="K36" s="36"/>
    </row>
    <row r="37">
      <c r="E37" s="36"/>
      <c r="F37" s="36"/>
      <c r="G37" s="36"/>
      <c r="H37" s="36"/>
      <c r="I37" s="36"/>
      <c r="J37" s="36"/>
      <c r="K37" s="36"/>
    </row>
    <row r="38">
      <c r="G38" s="36"/>
      <c r="H38" s="36"/>
      <c r="I38" s="36"/>
      <c r="J38" s="36"/>
      <c r="K38" s="36"/>
    </row>
    <row r="39">
      <c r="G39" s="36"/>
      <c r="H39" s="36"/>
      <c r="I39" s="36"/>
      <c r="J39" s="36"/>
      <c r="K39" s="36"/>
    </row>
    <row r="40">
      <c r="E40" s="36"/>
      <c r="F40" s="36"/>
      <c r="G40" s="36"/>
      <c r="H40" s="36"/>
      <c r="I40" s="36"/>
      <c r="J40" s="36"/>
      <c r="K40" s="36"/>
    </row>
    <row r="41">
      <c r="E41" s="36"/>
      <c r="F41" s="36"/>
      <c r="G41" s="36"/>
      <c r="H41" s="36"/>
      <c r="I41" s="36"/>
      <c r="J41" s="36"/>
      <c r="K41" s="36"/>
    </row>
    <row r="42">
      <c r="E42" s="36"/>
      <c r="F42" s="36"/>
      <c r="G42" s="36"/>
      <c r="H42" s="36"/>
      <c r="I42" s="36"/>
      <c r="J42" s="36"/>
      <c r="K42" s="36"/>
    </row>
    <row r="43">
      <c r="E43" s="36"/>
      <c r="F43" s="36"/>
      <c r="G43" s="36"/>
      <c r="H43" s="36"/>
      <c r="I43" s="36"/>
      <c r="J43" s="36"/>
      <c r="K43" s="36"/>
    </row>
    <row r="44">
      <c r="E44" s="36"/>
      <c r="F44" s="36"/>
      <c r="G44" s="36"/>
      <c r="H44" s="36"/>
      <c r="I44" s="36"/>
      <c r="J44" s="36"/>
      <c r="K44" s="36"/>
    </row>
    <row r="45">
      <c r="E45" s="36"/>
      <c r="F45" s="36"/>
      <c r="G45" s="36"/>
      <c r="H45" s="36"/>
      <c r="I45" s="36"/>
      <c r="J45" s="36"/>
      <c r="K45" s="36"/>
    </row>
  </sheetData>
  <mergeCells count="4">
    <mergeCell ref="A1:K1"/>
    <mergeCell ref="E20:K20"/>
    <mergeCell ref="E26:K30"/>
    <mergeCell ref="E34:F35"/>
  </mergeCells>
  <conditionalFormatting sqref="D3:D6">
    <cfRule type="cellIs" dxfId="0" priority="1" operator="lessThan">
      <formula>0</formula>
    </cfRule>
  </conditionalFormatting>
  <conditionalFormatting sqref="D3:D6">
    <cfRule type="cellIs" dxfId="1" priority="2" operator="greaterThan">
      <formula>0</formula>
    </cfRule>
  </conditionalFormatting>
  <drawing r:id="rId2"/>
  <legacyDrawing r:id="rId3"/>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3" width="16.25"/>
  </cols>
  <sheetData>
    <row r="1" ht="22.5" customHeight="1">
      <c r="A1" s="38" t="s">
        <v>22</v>
      </c>
      <c r="B1" s="38" t="s">
        <v>23</v>
      </c>
      <c r="C1" s="38" t="s">
        <v>24</v>
      </c>
    </row>
    <row r="2" ht="22.5" customHeight="1">
      <c r="A2" s="39">
        <v>1.0</v>
      </c>
      <c r="B2" s="40"/>
      <c r="C2" s="40">
        <v>3617057.32</v>
      </c>
      <c r="E2" s="41" t="s">
        <v>25</v>
      </c>
      <c r="F2" s="41" t="s">
        <v>26</v>
      </c>
    </row>
    <row r="3" ht="22.5" customHeight="1">
      <c r="A3" s="39">
        <v>2.0</v>
      </c>
      <c r="B3" s="40"/>
      <c r="C3" s="40">
        <v>2522392.91</v>
      </c>
      <c r="E3" s="41">
        <v>21411.0</v>
      </c>
      <c r="F3" s="41">
        <v>16259.0</v>
      </c>
    </row>
    <row r="4" ht="22.5" customHeight="1">
      <c r="A4" s="39">
        <v>3.0</v>
      </c>
      <c r="B4" s="40">
        <v>3856319.62</v>
      </c>
      <c r="C4" s="40">
        <v>2210390.75</v>
      </c>
    </row>
    <row r="5" ht="22.5" customHeight="1">
      <c r="A5" s="39">
        <v>4.0</v>
      </c>
      <c r="B5" s="40">
        <v>4039213.34</v>
      </c>
      <c r="C5" s="40">
        <v>1962721.14</v>
      </c>
    </row>
    <row r="6" ht="22.5" customHeight="1">
      <c r="A6" s="39">
        <v>5.0</v>
      </c>
      <c r="B6" s="40">
        <v>4406981.67</v>
      </c>
      <c r="C6" s="40">
        <v>3079650.67</v>
      </c>
    </row>
    <row r="7" ht="22.5" customHeight="1">
      <c r="A7" s="39">
        <v>6.0</v>
      </c>
      <c r="B7" s="40">
        <v>4019024.52</v>
      </c>
      <c r="C7" s="40">
        <v>2448290.39</v>
      </c>
    </row>
    <row r="8" ht="22.5" customHeight="1">
      <c r="A8" s="39">
        <v>7.0</v>
      </c>
      <c r="B8" s="40">
        <v>3705601.43</v>
      </c>
      <c r="C8" s="40">
        <v>1532077.3</v>
      </c>
    </row>
    <row r="9" ht="22.5" customHeight="1">
      <c r="A9" s="39">
        <v>8.0</v>
      </c>
      <c r="B9" s="40">
        <v>4024552.47</v>
      </c>
      <c r="C9" s="40">
        <v>2183382.18</v>
      </c>
    </row>
    <row r="10" ht="22.5" customHeight="1">
      <c r="A10" s="39">
        <v>9.0</v>
      </c>
      <c r="B10" s="40">
        <v>4728112.48</v>
      </c>
      <c r="C10" s="40">
        <v>1844764.4</v>
      </c>
    </row>
    <row r="11" ht="22.5" customHeight="1">
      <c r="A11" s="39">
        <v>10.0</v>
      </c>
      <c r="B11" s="40">
        <v>4959986.71</v>
      </c>
      <c r="C11" s="40">
        <v>1872696.28</v>
      </c>
    </row>
    <row r="12" ht="22.5" customHeight="1">
      <c r="A12" s="39">
        <v>11.0</v>
      </c>
      <c r="B12" s="40">
        <v>4286243.88</v>
      </c>
      <c r="C12" s="40">
        <v>1679123.33</v>
      </c>
    </row>
    <row r="13" ht="22.5" customHeight="1">
      <c r="A13" s="39">
        <v>12.0</v>
      </c>
      <c r="B13" s="40">
        <v>4184530.23</v>
      </c>
      <c r="C13" s="40">
        <v>1488768.93</v>
      </c>
    </row>
    <row r="16" ht="22.5" customHeight="1">
      <c r="A16" s="38" t="s">
        <v>27</v>
      </c>
      <c r="B16" s="38" t="s">
        <v>28</v>
      </c>
    </row>
    <row r="17" ht="22.5" customHeight="1">
      <c r="A17" s="39" t="s">
        <v>29</v>
      </c>
      <c r="B17" s="40">
        <v>2.456623651E7</v>
      </c>
    </row>
    <row r="18" ht="22.5" customHeight="1">
      <c r="A18" s="39" t="s">
        <v>30</v>
      </c>
      <c r="B18" s="40">
        <v>8754310.47</v>
      </c>
    </row>
    <row r="19" ht="22.5" customHeight="1">
      <c r="A19" s="39" t="s">
        <v>31</v>
      </c>
      <c r="B19" s="40">
        <v>8154888.12</v>
      </c>
    </row>
    <row r="20" ht="22.5" customHeight="1">
      <c r="A20" s="39" t="s">
        <v>32</v>
      </c>
      <c r="B20" s="40">
        <v>7725922.32</v>
      </c>
    </row>
    <row r="21" ht="22.5" customHeight="1">
      <c r="A21" s="39" t="s">
        <v>33</v>
      </c>
      <c r="B21" s="40">
        <v>6297664.48</v>
      </c>
    </row>
    <row r="22" ht="22.5" customHeight="1">
      <c r="A22" s="39" t="s">
        <v>34</v>
      </c>
      <c r="B22" s="40">
        <v>3827321.25</v>
      </c>
    </row>
    <row r="23" ht="22.5" customHeight="1">
      <c r="A23" s="39" t="s">
        <v>35</v>
      </c>
      <c r="B23" s="40">
        <v>3722864.74</v>
      </c>
    </row>
    <row r="24" ht="22.5" customHeight="1">
      <c r="A24" s="39" t="s">
        <v>36</v>
      </c>
      <c r="B24" s="40">
        <v>2905904.21</v>
      </c>
    </row>
    <row r="25" ht="22.5" customHeight="1">
      <c r="A25" s="39" t="s">
        <v>37</v>
      </c>
      <c r="B25" s="40">
        <v>1728327.88</v>
      </c>
    </row>
    <row r="26" ht="22.5" customHeight="1">
      <c r="A26" s="39" t="s">
        <v>38</v>
      </c>
      <c r="B26" s="40">
        <v>899485.34</v>
      </c>
    </row>
    <row r="27" ht="22.5" customHeight="1">
      <c r="A27" s="39" t="s">
        <v>39</v>
      </c>
      <c r="B27" s="40">
        <v>371735.19</v>
      </c>
    </row>
    <row r="28" ht="22.5" customHeight="1">
      <c r="A28" s="39" t="s">
        <v>40</v>
      </c>
      <c r="B28" s="40">
        <v>342703.06</v>
      </c>
    </row>
    <row r="29" ht="22.5" customHeight="1">
      <c r="A29" s="39" t="s">
        <v>41</v>
      </c>
      <c r="B29" s="40">
        <v>306009.48</v>
      </c>
    </row>
    <row r="30" ht="22.5" customHeight="1">
      <c r="A30" s="39" t="s">
        <v>42</v>
      </c>
      <c r="B30" s="40">
        <v>96707.15</v>
      </c>
    </row>
    <row r="31" ht="22.5" customHeight="1">
      <c r="A31" s="39" t="s">
        <v>43</v>
      </c>
      <c r="B31" s="40">
        <v>41561.98</v>
      </c>
    </row>
    <row r="32" ht="22.5" customHeight="1">
      <c r="A32" s="39" t="s">
        <v>44</v>
      </c>
      <c r="B32" s="40">
        <v>21137.31</v>
      </c>
    </row>
    <row r="33" ht="22.5" customHeight="1">
      <c r="A33" s="39" t="s">
        <v>45</v>
      </c>
      <c r="B33" s="40">
        <v>11302.0</v>
      </c>
    </row>
    <row r="34">
      <c r="A34" s="42"/>
      <c r="B34" s="42"/>
    </row>
    <row r="35">
      <c r="A35" s="42"/>
      <c r="B35" s="42"/>
    </row>
    <row r="37" ht="22.5" customHeight="1">
      <c r="A37" s="38" t="s">
        <v>46</v>
      </c>
      <c r="B37" s="38" t="s">
        <v>47</v>
      </c>
      <c r="C37" s="43" t="s">
        <v>48</v>
      </c>
    </row>
    <row r="38" ht="22.5" customHeight="1">
      <c r="A38" s="44">
        <v>45323.0</v>
      </c>
      <c r="B38" s="40"/>
    </row>
    <row r="39" ht="22.5" customHeight="1">
      <c r="A39" s="44">
        <v>45352.0</v>
      </c>
      <c r="B39" s="40">
        <v>3856319.62</v>
      </c>
      <c r="C39" s="39" t="s">
        <v>49</v>
      </c>
    </row>
    <row r="40" ht="22.5" customHeight="1">
      <c r="A40" s="44">
        <v>45383.0</v>
      </c>
      <c r="B40" s="40">
        <v>4039213.34</v>
      </c>
    </row>
    <row r="41" ht="22.5" customHeight="1">
      <c r="A41" s="44">
        <v>45413.0</v>
      </c>
      <c r="B41" s="40">
        <v>4406981.67</v>
      </c>
    </row>
    <row r="42" ht="22.5" customHeight="1">
      <c r="A42" s="44">
        <v>45444.0</v>
      </c>
      <c r="B42" s="40">
        <v>4019024.52</v>
      </c>
    </row>
    <row r="43" ht="22.5" customHeight="1">
      <c r="A43" s="44">
        <v>45474.0</v>
      </c>
      <c r="B43" s="40">
        <v>3705601.43</v>
      </c>
    </row>
    <row r="44" ht="22.5" customHeight="1">
      <c r="A44" s="44">
        <v>45505.0</v>
      </c>
      <c r="B44" s="40">
        <v>4024552.47</v>
      </c>
    </row>
    <row r="45" ht="22.5" customHeight="1">
      <c r="A45" s="44">
        <v>45536.0</v>
      </c>
      <c r="B45" s="40">
        <v>4728112.48</v>
      </c>
    </row>
    <row r="46" ht="22.5" customHeight="1">
      <c r="A46" s="45">
        <v>45566.0</v>
      </c>
      <c r="B46" s="40">
        <v>4959986.71</v>
      </c>
    </row>
    <row r="47" ht="22.5" customHeight="1">
      <c r="A47" s="45">
        <v>45597.0</v>
      </c>
      <c r="B47" s="40">
        <v>4286243.88</v>
      </c>
    </row>
    <row r="48" ht="22.5" customHeight="1">
      <c r="A48" s="45">
        <v>45627.0</v>
      </c>
      <c r="B48" s="40">
        <v>4184530.23</v>
      </c>
    </row>
    <row r="49" ht="22.5" customHeight="1">
      <c r="A49" s="44">
        <v>45658.0</v>
      </c>
      <c r="B49" s="40">
        <v>3617057.32</v>
      </c>
      <c r="C49" s="39" t="s">
        <v>50</v>
      </c>
    </row>
    <row r="50" ht="22.5" customHeight="1">
      <c r="A50" s="44">
        <v>45689.0</v>
      </c>
      <c r="B50" s="40">
        <v>2522392.91</v>
      </c>
    </row>
    <row r="51" ht="22.5" customHeight="1">
      <c r="A51" s="44">
        <v>45717.0</v>
      </c>
      <c r="B51" s="40">
        <v>2210390.75</v>
      </c>
      <c r="C51" s="39" t="s">
        <v>49</v>
      </c>
    </row>
    <row r="52" ht="22.5" customHeight="1">
      <c r="A52" s="44">
        <v>45748.0</v>
      </c>
      <c r="B52" s="40">
        <v>1962721.14</v>
      </c>
    </row>
    <row r="53" ht="22.5" customHeight="1">
      <c r="A53" s="44">
        <v>45778.0</v>
      </c>
      <c r="B53" s="40">
        <v>3079650.67</v>
      </c>
    </row>
    <row r="54" ht="22.5" customHeight="1">
      <c r="A54" s="44">
        <v>45809.0</v>
      </c>
      <c r="B54" s="40">
        <v>2448290.39</v>
      </c>
    </row>
    <row r="55" ht="22.5" customHeight="1">
      <c r="A55" s="44">
        <v>45839.0</v>
      </c>
      <c r="B55" s="40">
        <v>1532077.3</v>
      </c>
    </row>
    <row r="56" ht="22.5" customHeight="1">
      <c r="A56" s="44">
        <v>45870.0</v>
      </c>
      <c r="B56" s="40">
        <v>2183382.18</v>
      </c>
    </row>
    <row r="57" ht="22.5" customHeight="1">
      <c r="A57" s="44">
        <v>45901.0</v>
      </c>
      <c r="B57" s="40">
        <v>1844764.4</v>
      </c>
    </row>
    <row r="58" ht="22.5" customHeight="1">
      <c r="A58" s="45">
        <v>45931.0</v>
      </c>
      <c r="B58" s="40">
        <v>1872696.28</v>
      </c>
    </row>
    <row r="59" ht="22.5" customHeight="1">
      <c r="A59" s="45">
        <v>45962.0</v>
      </c>
      <c r="B59" s="40">
        <v>1679123.33</v>
      </c>
    </row>
    <row r="60" ht="22.5" customHeight="1">
      <c r="A60" s="45">
        <v>45992.0</v>
      </c>
      <c r="B60" s="40">
        <v>1488768.93</v>
      </c>
    </row>
    <row r="62" ht="22.5" customHeight="1">
      <c r="A62" s="38" t="s">
        <v>51</v>
      </c>
      <c r="B62" s="38" t="s">
        <v>52</v>
      </c>
    </row>
    <row r="63" ht="22.5" customHeight="1">
      <c r="A63" s="39" t="s">
        <v>53</v>
      </c>
      <c r="B63" s="40">
        <v>7343788.13</v>
      </c>
    </row>
    <row r="64" ht="22.5" customHeight="1">
      <c r="A64" s="39" t="s">
        <v>54</v>
      </c>
      <c r="B64" s="40">
        <v>3303913.0</v>
      </c>
    </row>
    <row r="65" ht="22.5" customHeight="1">
      <c r="A65" s="39" t="s">
        <v>55</v>
      </c>
      <c r="B65" s="40">
        <v>2589511.96</v>
      </c>
    </row>
    <row r="66" ht="22.5" customHeight="1">
      <c r="A66" s="39" t="s">
        <v>56</v>
      </c>
      <c r="B66" s="40">
        <v>1879716.23</v>
      </c>
    </row>
    <row r="67" ht="22.5" customHeight="1">
      <c r="A67" s="39" t="s">
        <v>57</v>
      </c>
      <c r="B67" s="40">
        <v>1332564.63</v>
      </c>
    </row>
    <row r="68" ht="22.5" customHeight="1">
      <c r="A68" s="39" t="s">
        <v>58</v>
      </c>
      <c r="B68" s="40">
        <v>1156116.0</v>
      </c>
    </row>
    <row r="69" ht="22.5" customHeight="1">
      <c r="A69" s="39" t="s">
        <v>59</v>
      </c>
      <c r="B69" s="40">
        <v>885244.0</v>
      </c>
    </row>
    <row r="70" ht="22.5" customHeight="1">
      <c r="A70" s="39" t="s">
        <v>60</v>
      </c>
      <c r="B70" s="40">
        <v>781189.36</v>
      </c>
    </row>
    <row r="71" ht="22.5" customHeight="1">
      <c r="A71" s="39" t="s">
        <v>61</v>
      </c>
      <c r="B71" s="40">
        <v>761121.92</v>
      </c>
    </row>
    <row r="72" ht="22.5" customHeight="1">
      <c r="A72" s="39" t="s">
        <v>62</v>
      </c>
      <c r="B72" s="40">
        <v>690307.0</v>
      </c>
    </row>
    <row r="73" ht="22.5" customHeight="1">
      <c r="A73" s="39" t="s">
        <v>63</v>
      </c>
      <c r="B73" s="40">
        <v>457969.0</v>
      </c>
    </row>
    <row r="74" ht="22.5" customHeight="1">
      <c r="A74" s="39" t="s">
        <v>64</v>
      </c>
      <c r="B74" s="40">
        <v>217104.0</v>
      </c>
    </row>
    <row r="75" ht="22.5" customHeight="1">
      <c r="A75" s="39" t="s">
        <v>65</v>
      </c>
      <c r="B75" s="40">
        <v>180732.88</v>
      </c>
    </row>
    <row r="76" ht="22.5" customHeight="1">
      <c r="A76" s="39" t="s">
        <v>66</v>
      </c>
      <c r="B76" s="40">
        <v>172418.92</v>
      </c>
    </row>
    <row r="77" ht="22.5" customHeight="1">
      <c r="A77" s="39" t="s">
        <v>67</v>
      </c>
      <c r="B77" s="40">
        <v>136982.74</v>
      </c>
    </row>
    <row r="78" ht="22.5" customHeight="1">
      <c r="A78" s="39" t="s">
        <v>68</v>
      </c>
      <c r="B78" s="40">
        <v>106744.87</v>
      </c>
    </row>
    <row r="79" ht="22.5" customHeight="1">
      <c r="A79" s="39" t="s">
        <v>69</v>
      </c>
      <c r="B79" s="40">
        <v>99492.0</v>
      </c>
    </row>
    <row r="80" ht="22.5" customHeight="1">
      <c r="A80" s="39" t="s">
        <v>70</v>
      </c>
      <c r="B80" s="40">
        <v>96068.0</v>
      </c>
    </row>
    <row r="81" ht="22.5" customHeight="1">
      <c r="A81" s="39" t="s">
        <v>71</v>
      </c>
      <c r="B81" s="40">
        <v>81119.55</v>
      </c>
    </row>
    <row r="82" ht="22.5" customHeight="1">
      <c r="A82" s="39" t="s">
        <v>72</v>
      </c>
      <c r="B82" s="40">
        <v>74465.05</v>
      </c>
    </row>
    <row r="83" ht="22.5" customHeight="1">
      <c r="A83" s="39" t="s">
        <v>73</v>
      </c>
      <c r="B83" s="40">
        <v>44772.0</v>
      </c>
    </row>
    <row r="84" ht="22.5" customHeight="1">
      <c r="A84" s="39" t="s">
        <v>74</v>
      </c>
      <c r="B84" s="40">
        <v>41417.31</v>
      </c>
    </row>
    <row r="85" ht="22.5" customHeight="1">
      <c r="A85" s="39" t="s">
        <v>75</v>
      </c>
      <c r="B85" s="40">
        <v>35157.29</v>
      </c>
    </row>
    <row r="86" ht="22.5" customHeight="1">
      <c r="A86" s="39" t="s">
        <v>76</v>
      </c>
      <c r="B86" s="40">
        <v>31461.0</v>
      </c>
    </row>
    <row r="87" ht="22.5" customHeight="1">
      <c r="A87" s="39" t="s">
        <v>77</v>
      </c>
      <c r="B87" s="40">
        <v>7609.04</v>
      </c>
    </row>
    <row r="88" ht="22.5" customHeight="1">
      <c r="A88" s="39" t="s">
        <v>78</v>
      </c>
      <c r="B88" s="40">
        <v>1395.24</v>
      </c>
    </row>
    <row r="91" ht="22.5" customHeight="1">
      <c r="A91" s="38" t="s">
        <v>10</v>
      </c>
      <c r="B91" s="38" t="s">
        <v>11</v>
      </c>
      <c r="C91" s="38" t="s">
        <v>12</v>
      </c>
      <c r="D91" s="38" t="s">
        <v>13</v>
      </c>
      <c r="E91" s="38" t="s">
        <v>14</v>
      </c>
      <c r="F91" s="38" t="s">
        <v>15</v>
      </c>
      <c r="G91" s="38" t="s">
        <v>16</v>
      </c>
    </row>
    <row r="92" ht="22.5" customHeight="1">
      <c r="A92" s="46">
        <v>5.78741E17</v>
      </c>
      <c r="B92" s="39" t="s">
        <v>17</v>
      </c>
      <c r="C92" s="39" t="s">
        <v>18</v>
      </c>
      <c r="D92" s="39">
        <v>-2581.75</v>
      </c>
      <c r="E92" s="39">
        <v>-2581.75</v>
      </c>
      <c r="F92" s="39">
        <v>-495.0</v>
      </c>
      <c r="G92" s="39">
        <v>122.52</v>
      </c>
    </row>
    <row r="93" ht="22.5" customHeight="1">
      <c r="A93" s="46">
        <v>1.05956E15</v>
      </c>
      <c r="B93" s="39" t="s">
        <v>19</v>
      </c>
      <c r="C93" s="39" t="s">
        <v>18</v>
      </c>
      <c r="D93" s="39">
        <v>-2324.95</v>
      </c>
      <c r="E93" s="39">
        <v>-2324.95</v>
      </c>
      <c r="F93" s="39">
        <v>0.0</v>
      </c>
      <c r="G93" s="39">
        <v>-242.94</v>
      </c>
    </row>
    <row r="94" ht="22.5" customHeight="1">
      <c r="A94" s="46">
        <v>9.6853E14</v>
      </c>
      <c r="B94" s="39" t="s">
        <v>20</v>
      </c>
      <c r="C94" s="39" t="s">
        <v>18</v>
      </c>
      <c r="D94" s="39">
        <v>-714.75</v>
      </c>
      <c r="E94" s="39">
        <v>-714.75</v>
      </c>
      <c r="F94" s="39">
        <v>0.0</v>
      </c>
      <c r="G94" s="39">
        <v>-514.41</v>
      </c>
    </row>
    <row r="97" ht="22.5" customHeight="1">
      <c r="A97" s="38" t="s">
        <v>79</v>
      </c>
      <c r="B97" s="38" t="s">
        <v>80</v>
      </c>
      <c r="C97" s="38" t="s">
        <v>81</v>
      </c>
      <c r="D97" s="38" t="s">
        <v>82</v>
      </c>
    </row>
    <row r="98" ht="22.5" customHeight="1">
      <c r="A98" s="39">
        <v>2024.0</v>
      </c>
      <c r="B98" s="39">
        <v>4.333276589E7</v>
      </c>
      <c r="C98" s="39">
        <v>5.004125066E7</v>
      </c>
      <c r="D98" s="39">
        <v>0.896</v>
      </c>
    </row>
    <row r="99" ht="22.5" customHeight="1">
      <c r="A99" s="39">
        <v>2025.0</v>
      </c>
      <c r="B99" s="39">
        <v>2.64413156E7</v>
      </c>
      <c r="C99" s="39">
        <v>3.173746647E7</v>
      </c>
      <c r="D99" s="39">
        <v>0.882</v>
      </c>
    </row>
    <row r="102" ht="22.5" customHeight="1">
      <c r="A102" s="47" t="s">
        <v>83</v>
      </c>
      <c r="B102" s="47" t="s">
        <v>2</v>
      </c>
      <c r="C102" s="47" t="s">
        <v>3</v>
      </c>
      <c r="D102" s="47" t="s">
        <v>4</v>
      </c>
    </row>
    <row r="103" ht="22.5" customHeight="1">
      <c r="A103" s="48" t="s">
        <v>5</v>
      </c>
      <c r="B103" s="49" t="s">
        <v>84</v>
      </c>
      <c r="C103" s="49" t="s">
        <v>85</v>
      </c>
      <c r="D103" s="48" t="s">
        <v>86</v>
      </c>
    </row>
    <row r="104" ht="22.5" customHeight="1">
      <c r="A104" s="48" t="s">
        <v>6</v>
      </c>
      <c r="B104" s="50">
        <v>0.896</v>
      </c>
      <c r="C104" s="50">
        <v>0.882</v>
      </c>
      <c r="D104" s="48" t="s">
        <v>87</v>
      </c>
    </row>
    <row r="105" ht="22.5" customHeight="1">
      <c r="A105" s="48" t="s">
        <v>7</v>
      </c>
      <c r="B105" s="49" t="s">
        <v>88</v>
      </c>
      <c r="C105" s="49" t="s">
        <v>89</v>
      </c>
      <c r="D105" s="48" t="s">
        <v>90</v>
      </c>
    </row>
  </sheetData>
  <customSheetViews>
    <customSheetView guid="{27D0E87C-AC8F-4514-A4DC-ED9279D30754}" filter="1" showAutoFilter="1">
      <autoFilter ref="$A$37:$B$60"/>
    </customSheetView>
    <customSheetView guid="{27D0E87C-AC8F-4514-A4DC-ED9279D30754}" filter="1" showAutoFilter="1">
      <autoFilter ref="$A$62:$B$67"/>
    </customSheetView>
    <customSheetView guid="{27D0E87C-AC8F-4514-A4DC-ED9279D30754}" filter="1" showAutoFilter="1">
      <autoFilter ref="$A$37:$B$60"/>
    </customSheetView>
    <customSheetView guid="{27D0E87C-AC8F-4514-A4DC-ED9279D30754}" filter="1" showAutoFilter="1">
      <autoFilter ref="$A$62:$B$67"/>
    </customSheetView>
  </customSheetViews>
  <dataValidations>
    <dataValidation type="custom" allowBlank="1" showDropDown="1" sqref="B2:C13 B17:B33 B38:B60 B63:B88">
      <formula1>AND(ISNUMBER(B2),(NOT(OR(NOT(ISERROR(DATEVALUE(B2))), AND(ISNUMBER(B2), LEFT(CELL("format", B2))="D")))))</formula1>
    </dataValidation>
  </dataValidations>
  <drawing r:id="rId1"/>
  <tableParts count="7">
    <tablePart r:id="rId9"/>
    <tablePart r:id="rId10"/>
    <tablePart r:id="rId11"/>
    <tablePart r:id="rId12"/>
    <tablePart r:id="rId13"/>
    <tablePart r:id="rId14"/>
    <tablePart r:id="rId15"/>
  </tableParts>
  <extLst>
    <ext uri="{3A4CF648-6AED-40f4-86FF-DC5316D8AED3}">
      <x14:slicerList>
        <x14:slicer r:id="rId16"/>
      </x14:slicerList>
    </ext>
  </extLst>
</worksheet>
</file>